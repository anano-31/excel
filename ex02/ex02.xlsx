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0f2ee41b75427174/Desktop/excel/ex02/"/>
    </mc:Choice>
  </mc:AlternateContent>
  <xr:revisionPtr revIDLastSave="1" documentId="13_ncr:1_{9C0F35F3-0BA0-4733-96ED-38FB96DFE62C}" xr6:coauthVersionLast="45" xr6:coauthVersionMax="47" xr10:uidLastSave="{FD5EEC5A-40C1-4153-BE97-1A1BEAA1DF52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F3" i="1"/>
  <c r="F4" i="1"/>
  <c r="F5" i="1"/>
  <c r="F6" i="1"/>
  <c r="F7" i="1"/>
  <c r="F8" i="1"/>
  <c r="F9" i="1"/>
  <c r="F2" i="1"/>
  <c r="G3" i="1"/>
  <c r="G4" i="1"/>
  <c r="G5" i="1"/>
  <c r="G6" i="1"/>
  <c r="G7" i="1"/>
  <c r="G8" i="1"/>
  <c r="G9" i="1"/>
  <c r="G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<sst xmlns="http://schemas.openxmlformats.org/spreadsheetml/2006/main" count="34" uniqueCount="34">
  <si>
    <t>Dept Code</t>
  </si>
  <si>
    <t>HR</t>
  </si>
  <si>
    <t>FN</t>
  </si>
  <si>
    <t>IT</t>
  </si>
  <si>
    <t>MK</t>
  </si>
  <si>
    <t>SL</t>
  </si>
  <si>
    <t>Dept Name</t>
  </si>
  <si>
    <t>Finance</t>
  </si>
  <si>
    <t>Human Resources</t>
  </si>
  <si>
    <t>Information Technology</t>
  </si>
  <si>
    <t>Marketing</t>
  </si>
  <si>
    <t>Sales</t>
  </si>
  <si>
    <t>Salary Threshold</t>
  </si>
  <si>
    <t>Band</t>
  </si>
  <si>
    <t>Band 1</t>
  </si>
  <si>
    <t>Band 2</t>
  </si>
  <si>
    <t>Band 3</t>
  </si>
  <si>
    <t>Band 4</t>
  </si>
  <si>
    <t>Student</t>
  </si>
  <si>
    <t>Score</t>
  </si>
  <si>
    <t>Attendance %</t>
  </si>
  <si>
    <t>Amira</t>
  </si>
  <si>
    <t>Ben</t>
  </si>
  <si>
    <t>Chloe</t>
  </si>
  <si>
    <t>David</t>
  </si>
  <si>
    <t>Elena</t>
  </si>
  <si>
    <t>Farid</t>
  </si>
  <si>
    <t>Grace</t>
  </si>
  <si>
    <t>Hugo</t>
  </si>
  <si>
    <t>Pass/Fail</t>
  </si>
  <si>
    <t>Grade</t>
  </si>
  <si>
    <t>Bonus credit</t>
  </si>
  <si>
    <t>Review</t>
  </si>
  <si>
    <t>Score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</si>
</sst>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wrapText="1" indent="1" readingOrder="1"/>
    </xf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9" fontId="2" fillId="4" borderId="2" xfId="0" applyNumberFormat="1" applyFont="1" applyFill="1" applyBorder="1" applyAlignment="1">
      <alignment horizontal="left" vertical="center" wrapText="1" indent="1" readingOrder="1"/>
    </xf>
    <xf numFmtId="0" fontId="1" fillId="5" borderId="2" xfId="0" applyFont="1" applyFill="1" applyBorder="1" applyAlignment="1">
      <alignment horizontal="right" wrapText="1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5" sqref="I5"/>
    </sheetView>
  </sheetViews>
  <sheetFormatPr defaultColWidth="16.5703125" defaultRowHeight="15" customHeight="1" x14ac:dyDescent="0.25"/>
  <sheetData>
    <row r="1" spans="1:8" ht="15" customHeight="1" x14ac:dyDescent="0.25">
      <c r="A1" s="3" t="s">
        <v>18</v>
      </c>
      <c r="B1" s="3" t="s">
        <v>19</v>
      </c>
      <c r="C1" s="3" t="s">
        <v>20</v>
      </c>
      <c r="D1" s="4" t="s">
        <v>29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1:8" ht="15" customHeight="1" x14ac:dyDescent="0.25">
      <c r="A2" s="6" t="s">
        <v>21</v>
      </c>
      <c r="B2" s="6">
        <v>92</v>
      </c>
      <c r="C2" s="7">
        <v>0.96</v>
      </c>
      <c r="D2" s="8" t="str">
        <f>IF(B2 &gt; 60, "Pass", "Fail")</f>
        <v>Pass</v>
      </c>
      <c r="E2" s="9" t="str">
        <f>_xlfn.IFS(B2&gt;90, "A", B2&gt;80, "B", B2&gt;70, "C", B2&gt;60, "D", TRUE,  "F")</f>
        <v>A</v>
      </c>
      <c r="F2" s="9" t="str">
        <f>_xlfn.IFS(AND(B2 &gt;= 80, C2 &gt;= 90%), "Eligible", TRUE,  "Noneligible")</f>
        <v>Eligible</v>
      </c>
      <c r="G2" s="9" t="str">
        <f>_xlfn.IFS(OR(B2&lt;60,C2&lt;80%),"Needs Review", TRUE,"OK")</f>
        <v>OK</v>
      </c>
      <c r="H2" s="9" t="str">
        <f>_xlfn.IFS(AND(B2&gt;90, C2&gt;95%), "Excellent", TRUE, "Standard")</f>
        <v>Excellent</v>
      </c>
    </row>
    <row r="3" spans="1:8" ht="15" customHeight="1" x14ac:dyDescent="0.25">
      <c r="A3" s="6" t="s">
        <v>22</v>
      </c>
      <c r="B3" s="6">
        <v>77</v>
      </c>
      <c r="C3" s="7">
        <v>0.88</v>
      </c>
      <c r="D3" s="8" t="str">
        <f t="shared" ref="D3:D9" si="0">IF(B3 &gt; 60, "Pass", "Fail")</f>
        <v>Pass</v>
      </c>
      <c r="E3" s="9" t="str">
        <f t="shared" ref="E3:E9" si="1">_xlfn.IFS(B3&gt;90, "A", B3&gt;80, "B", B3&gt;70, "C", B3&gt;60, "D", TRUE,  "F")</f>
        <v>C</v>
      </c>
      <c r="F3" s="9" t="str">
        <f t="shared" ref="F3:F9" si="2">_xlfn.IFS(AND(B3 &gt;= 80, C3 &gt;= 90%), "Eligible", TRUE,  "Noneligible")</f>
        <v>Noneligible</v>
      </c>
      <c r="G3" s="9" t="str">
        <f t="shared" ref="G3:G9" si="3">_xlfn.IFS(OR(B3&lt;60,C3&lt;80%),"Needs Review", TRUE,"OK")</f>
        <v>OK</v>
      </c>
      <c r="H3" s="9" t="str">
        <f t="shared" ref="H3:H9" si="4">_xlfn.IFS(AND(B3&gt;90, C3&gt;95%), "Excellent", TRUE, "Standard")</f>
        <v>Standard</v>
      </c>
    </row>
    <row r="4" spans="1:8" ht="15" customHeight="1" x14ac:dyDescent="0.25">
      <c r="A4" s="6" t="s">
        <v>23</v>
      </c>
      <c r="B4" s="6">
        <v>64</v>
      </c>
      <c r="C4" s="7">
        <v>0.91</v>
      </c>
      <c r="D4" s="8" t="str">
        <f t="shared" si="0"/>
        <v>Pass</v>
      </c>
      <c r="E4" s="9" t="str">
        <f t="shared" si="1"/>
        <v>D</v>
      </c>
      <c r="F4" s="9" t="str">
        <f t="shared" si="2"/>
        <v>Noneligible</v>
      </c>
      <c r="G4" s="9" t="str">
        <f t="shared" si="3"/>
        <v>OK</v>
      </c>
      <c r="H4" s="9" t="str">
        <f t="shared" si="4"/>
        <v>Standard</v>
      </c>
    </row>
    <row r="5" spans="1:8" ht="15" customHeight="1" x14ac:dyDescent="0.25">
      <c r="A5" s="6" t="s">
        <v>24</v>
      </c>
      <c r="B5" s="6">
        <v>58</v>
      </c>
      <c r="C5" s="7">
        <v>0.84</v>
      </c>
      <c r="D5" s="8" t="str">
        <f t="shared" si="0"/>
        <v>Fail</v>
      </c>
      <c r="E5" s="9" t="str">
        <f t="shared" si="1"/>
        <v>F</v>
      </c>
      <c r="F5" s="9" t="str">
        <f t="shared" si="2"/>
        <v>Noneligible</v>
      </c>
      <c r="G5" s="9" t="str">
        <f t="shared" si="3"/>
        <v>Needs Review</v>
      </c>
      <c r="H5" s="9" t="str">
        <f t="shared" si="4"/>
        <v>Standard</v>
      </c>
    </row>
    <row r="6" spans="1:8" ht="15" customHeight="1" x14ac:dyDescent="0.25">
      <c r="A6" s="6" t="s">
        <v>25</v>
      </c>
      <c r="B6" s="6">
        <v>85</v>
      </c>
      <c r="C6" s="7">
        <v>0.98</v>
      </c>
      <c r="D6" s="8" t="str">
        <f t="shared" si="0"/>
        <v>Pass</v>
      </c>
      <c r="E6" s="9" t="str">
        <f t="shared" si="1"/>
        <v>B</v>
      </c>
      <c r="F6" s="9" t="str">
        <f t="shared" si="2"/>
        <v>Eligible</v>
      </c>
      <c r="G6" s="9" t="str">
        <f t="shared" si="3"/>
        <v>OK</v>
      </c>
      <c r="H6" s="9" t="str">
        <f t="shared" si="4"/>
        <v>Standard</v>
      </c>
    </row>
    <row r="7" spans="1:8" ht="15" customHeight="1" x14ac:dyDescent="0.25">
      <c r="A7" s="6" t="s">
        <v>26</v>
      </c>
      <c r="B7" s="6">
        <v>73</v>
      </c>
      <c r="C7" s="7">
        <v>0.79</v>
      </c>
      <c r="D7" s="8" t="str">
        <f t="shared" si="0"/>
        <v>Pass</v>
      </c>
      <c r="E7" s="9" t="str">
        <f t="shared" si="1"/>
        <v>C</v>
      </c>
      <c r="F7" s="9" t="str">
        <f t="shared" si="2"/>
        <v>Noneligible</v>
      </c>
      <c r="G7" s="9" t="str">
        <f t="shared" si="3"/>
        <v>Needs Review</v>
      </c>
      <c r="H7" s="9" t="str">
        <f t="shared" si="4"/>
        <v>Standard</v>
      </c>
    </row>
    <row r="8" spans="1:8" ht="15" customHeight="1" x14ac:dyDescent="0.25">
      <c r="A8" s="6" t="s">
        <v>27</v>
      </c>
      <c r="B8" s="6">
        <v>49</v>
      </c>
      <c r="C8" s="7">
        <v>0.93</v>
      </c>
      <c r="D8" s="8" t="str">
        <f t="shared" si="0"/>
        <v>Fail</v>
      </c>
      <c r="E8" s="9" t="str">
        <f t="shared" si="1"/>
        <v>F</v>
      </c>
      <c r="F8" s="9" t="str">
        <f t="shared" si="2"/>
        <v>Noneligible</v>
      </c>
      <c r="G8" s="9" t="str">
        <f t="shared" si="3"/>
        <v>Needs Review</v>
      </c>
      <c r="H8" s="9" t="str">
        <f t="shared" si="4"/>
        <v>Standard</v>
      </c>
    </row>
    <row r="9" spans="1:8" ht="15" customHeight="1" x14ac:dyDescent="0.25">
      <c r="A9" s="6" t="s">
        <v>28</v>
      </c>
      <c r="B9" s="6">
        <v>68</v>
      </c>
      <c r="C9" s="7">
        <v>0.87</v>
      </c>
      <c r="D9" s="8" t="str">
        <f t="shared" si="0"/>
        <v>Pass</v>
      </c>
      <c r="E9" s="9" t="str">
        <f t="shared" si="1"/>
        <v>D</v>
      </c>
      <c r="F9" s="9" t="str">
        <f t="shared" si="2"/>
        <v>Noneligible</v>
      </c>
      <c r="G9" s="9" t="str">
        <f t="shared" si="3"/>
        <v>OK</v>
      </c>
      <c r="H9" s="9" t="str">
        <f t="shared" si="4"/>
        <v>Standard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40CF-1136-4E24-8ECC-F1B01A765340}">
  <dimension ref="A1:B6"/>
  <sheetViews>
    <sheetView workbookViewId="0">
      <selection activeCell="C5" sqref="C5"/>
    </sheetView>
  </sheetViews>
  <sheetFormatPr defaultColWidth="23.28515625" defaultRowHeight="16.899999999999999" customHeight="1" x14ac:dyDescent="0.25"/>
  <sheetData>
    <row r="1" spans="1:2" ht="16.899999999999999" customHeight="1" thickBot="1" x14ac:dyDescent="0.3">
      <c r="A1" s="1" t="s">
        <v>0</v>
      </c>
      <c r="B1" s="1" t="s">
        <v>6</v>
      </c>
    </row>
    <row r="2" spans="1:2" ht="16.899999999999999" customHeight="1" thickBot="1" x14ac:dyDescent="0.3">
      <c r="A2" s="2" t="s">
        <v>2</v>
      </c>
      <c r="B2" s="2" t="s">
        <v>7</v>
      </c>
    </row>
    <row r="3" spans="1:2" ht="16.899999999999999" customHeight="1" thickBot="1" x14ac:dyDescent="0.3">
      <c r="A3" s="2" t="s">
        <v>1</v>
      </c>
      <c r="B3" s="2" t="s">
        <v>8</v>
      </c>
    </row>
    <row r="4" spans="1:2" ht="16.899999999999999" customHeight="1" thickBot="1" x14ac:dyDescent="0.3">
      <c r="A4" s="2" t="s">
        <v>3</v>
      </c>
      <c r="B4" s="2" t="s">
        <v>9</v>
      </c>
    </row>
    <row r="5" spans="1:2" ht="16.899999999999999" customHeight="1" thickBot="1" x14ac:dyDescent="0.3">
      <c r="A5" s="2" t="s">
        <v>4</v>
      </c>
      <c r="B5" s="2" t="s">
        <v>10</v>
      </c>
    </row>
    <row r="6" spans="1:2" ht="16.899999999999999" customHeight="1" thickBot="1" x14ac:dyDescent="0.3">
      <c r="A6" s="2" t="s">
        <v>5</v>
      </c>
      <c r="B6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20C3-DC28-4D25-A213-8CB5E6BE33DB}">
  <dimension ref="A1:B5"/>
  <sheetViews>
    <sheetView workbookViewId="0">
      <selection activeCell="D3" sqref="D3"/>
    </sheetView>
  </sheetViews>
  <sheetFormatPr defaultColWidth="10" defaultRowHeight="15" customHeight="1" x14ac:dyDescent="0.25"/>
  <cols>
    <col min="1" max="1" width="19.28515625" customWidth="1"/>
  </cols>
  <sheetData>
    <row r="1" spans="1:2" ht="15" customHeight="1" thickBot="1" x14ac:dyDescent="0.3">
      <c r="A1" s="1" t="s">
        <v>12</v>
      </c>
      <c r="B1" s="1" t="s">
        <v>13</v>
      </c>
    </row>
    <row r="2" spans="1:2" ht="15" customHeight="1" thickBot="1" x14ac:dyDescent="0.3">
      <c r="A2" s="2">
        <v>0</v>
      </c>
      <c r="B2" s="2" t="s">
        <v>14</v>
      </c>
    </row>
    <row r="3" spans="1:2" ht="15" customHeight="1" thickBot="1" x14ac:dyDescent="0.3">
      <c r="A3" s="2">
        <v>55000</v>
      </c>
      <c r="B3" s="2" t="s">
        <v>15</v>
      </c>
    </row>
    <row r="4" spans="1:2" ht="15" customHeight="1" thickBot="1" x14ac:dyDescent="0.3">
      <c r="A4" s="2">
        <v>65000</v>
      </c>
      <c r="B4" s="2" t="s">
        <v>16</v>
      </c>
    </row>
    <row r="5" spans="1:2" ht="15" customHeight="1" thickBot="1" x14ac:dyDescent="0.3">
      <c r="A5" s="2">
        <v>70000</v>
      </c>
      <c r="B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Anano</dc:creator>
  <cp:lastModifiedBy>ელენე რევაზიშვილი</cp:lastModifiedBy>
  <dcterms:created xsi:type="dcterms:W3CDTF">2015-06-05T18:17:20Z</dcterms:created>
  <dcterms:modified xsi:type="dcterms:W3CDTF">2026-07-01T09:29:13Z</dcterms:modified>
</cp:coreProperties>
</file>